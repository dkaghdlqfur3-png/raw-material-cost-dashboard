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민지\Desktop\★ 구매 업무\◈ 보고 자료\09. 26년 사업계획\01. 월별 단가 영향 인자\"/>
    </mc:Choice>
  </mc:AlternateContent>
  <xr:revisionPtr revIDLastSave="0" documentId="13_ncr:1_{1E396284-BFA6-4249-9EED-5D3B4D64F185}" xr6:coauthVersionLast="47" xr6:coauthVersionMax="47" xr10:uidLastSave="{00000000-0000-0000-0000-000000000000}"/>
  <bookViews>
    <workbookView xWindow="-120" yWindow="-120" windowWidth="29040" windowHeight="15720" xr2:uid="{4F76B2AE-5DB7-4740-9054-E51EB5634948}"/>
  </bookViews>
  <sheets>
    <sheet name="2026년" sheetId="1" r:id="rId1"/>
    <sheet name="출처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tc={D70800DF-00C9-4483-8F02-9197D9199929}</author>
  </authors>
  <commentList>
    <comment ref="G8" authorId="0" shapeId="0" xr:uid="{D70800DF-00C9-4483-8F02-9197D919992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2025년 연평균 종가 일괄 기재</t>
      </text>
    </comment>
  </commentList>
</comments>
</file>

<file path=xl/sharedStrings.xml><?xml version="1.0" encoding="utf-8"?>
<sst xmlns="http://schemas.openxmlformats.org/spreadsheetml/2006/main" count="128" uniqueCount="82">
  <si>
    <t>알루미늄</t>
  </si>
  <si>
    <t>알루미늄</t>
    <phoneticPr fontId="2" type="noConversion"/>
  </si>
  <si>
    <t>no.</t>
    <phoneticPr fontId="2" type="noConversion"/>
  </si>
  <si>
    <t>관련 구매품</t>
    <phoneticPr fontId="2" type="noConversion"/>
  </si>
  <si>
    <t>통화</t>
    <phoneticPr fontId="2" type="noConversion"/>
  </si>
  <si>
    <t>단위</t>
    <phoneticPr fontId="2" type="noConversion"/>
  </si>
  <si>
    <t>알루미늄리드지</t>
  </si>
  <si>
    <t>USD</t>
    <phoneticPr fontId="2" type="noConversion"/>
  </si>
  <si>
    <t>ton</t>
    <phoneticPr fontId="2" type="noConversion"/>
  </si>
  <si>
    <t>두바이유</t>
    <phoneticPr fontId="2" type="noConversion"/>
  </si>
  <si>
    <t>PP수지, 블리스터</t>
  </si>
  <si>
    <t>bbl</t>
    <phoneticPr fontId="2" type="noConversion"/>
  </si>
  <si>
    <t>나프타</t>
    <phoneticPr fontId="2" type="noConversion"/>
  </si>
  <si>
    <t>PP수지, HEMA, GMMA 등</t>
    <phoneticPr fontId="2" type="noConversion"/>
  </si>
  <si>
    <t>MT</t>
    <phoneticPr fontId="2" type="noConversion"/>
  </si>
  <si>
    <t>에틸렌</t>
    <phoneticPr fontId="2" type="noConversion"/>
  </si>
  <si>
    <t>BE</t>
  </si>
  <si>
    <t>알코올</t>
  </si>
  <si>
    <t>세일즈팩</t>
  </si>
  <si>
    <t>박스류</t>
  </si>
  <si>
    <t>KRW</t>
    <phoneticPr fontId="2" type="noConversion"/>
  </si>
  <si>
    <t>kg</t>
    <phoneticPr fontId="2" type="noConversion"/>
  </si>
  <si>
    <t>두바이유</t>
  </si>
  <si>
    <t>나프타</t>
  </si>
  <si>
    <t>에틸렌</t>
  </si>
  <si>
    <t>no.</t>
  </si>
  <si>
    <t>원료항목</t>
  </si>
  <si>
    <t>관련 구매품</t>
  </si>
  <si>
    <t>통화</t>
  </si>
  <si>
    <t>단위</t>
  </si>
  <si>
    <t>USD</t>
  </si>
  <si>
    <t>ton</t>
  </si>
  <si>
    <t>bbl</t>
  </si>
  <si>
    <t>MT</t>
  </si>
  <si>
    <t>옥수수(종가 기준)</t>
  </si>
  <si>
    <t>펄프(월 말 업데이트)</t>
  </si>
  <si>
    <t>폐골판지(월 말 업데이트)</t>
  </si>
  <si>
    <t>KRW</t>
  </si>
  <si>
    <t>kg</t>
  </si>
  <si>
    <t xml:space="preserve">▶ 원자재 </t>
  </si>
  <si>
    <t>출처</t>
  </si>
  <si>
    <t>URL</t>
  </si>
  <si>
    <t>주기</t>
  </si>
  <si>
    <t>산업통상부</t>
  </si>
  <si>
    <t>https://www.motir.go.kr/kor/contents/103</t>
  </si>
  <si>
    <t>일간</t>
  </si>
  <si>
    <t>PP수지</t>
  </si>
  <si>
    <t>주간</t>
  </si>
  <si>
    <t>농넷(한국농수산식품유통공사)</t>
  </si>
  <si>
    <t>https://www.nongnet.or.kr/front/M000000270/globalGrain/entire.do</t>
  </si>
  <si>
    <t>월간</t>
  </si>
  <si>
    <t>▶ 환율</t>
  </si>
  <si>
    <t>비고</t>
  </si>
  <si>
    <t>유로 (EUR)</t>
  </si>
  <si>
    <t>서울외국환중개</t>
  </si>
  <si>
    <t>http://www.smbs.biz/ExRate/StdExRate.jsp</t>
  </si>
  <si>
    <t>미국 달러 (USD)</t>
  </si>
  <si>
    <t>일본 엔 (JPY)</t>
  </si>
  <si>
    <t>추가</t>
  </si>
  <si>
    <t>EUR</t>
    <phoneticPr fontId="2" type="noConversion"/>
  </si>
  <si>
    <t>JPY</t>
    <phoneticPr fontId="2" type="noConversion"/>
  </si>
  <si>
    <t>기준일자</t>
    <phoneticPr fontId="2" type="noConversion"/>
  </si>
  <si>
    <t>구분</t>
    <phoneticPr fontId="2" type="noConversion"/>
  </si>
  <si>
    <t>2025년 1월</t>
    <phoneticPr fontId="2" type="noConversion"/>
  </si>
  <si>
    <t>2025년 2월</t>
  </si>
  <si>
    <t>2025년 3월</t>
  </si>
  <si>
    <t>2025년 4월</t>
  </si>
  <si>
    <t>2025년 5월</t>
  </si>
  <si>
    <t>2025년 6월</t>
  </si>
  <si>
    <t>2025년 7월</t>
  </si>
  <si>
    <t>2025년 8월</t>
  </si>
  <si>
    <t>2025년 9월</t>
  </si>
  <si>
    <t>2025년 10월</t>
  </si>
  <si>
    <t>2025년 11월</t>
  </si>
  <si>
    <t>2025년 12월</t>
  </si>
  <si>
    <t>2025년</t>
    <phoneticPr fontId="2" type="noConversion"/>
  </si>
  <si>
    <t>월 말 업데이트</t>
    <phoneticPr fontId="2" type="noConversion"/>
  </si>
  <si>
    <t>종가 기준</t>
    <phoneticPr fontId="2" type="noConversion"/>
  </si>
  <si>
    <t>옥수수</t>
    <phoneticPr fontId="2" type="noConversion"/>
  </si>
  <si>
    <t>펄프</t>
    <phoneticPr fontId="2" type="noConversion"/>
  </si>
  <si>
    <t>폐골판지</t>
    <phoneticPr fontId="2" type="noConversion"/>
  </si>
  <si>
    <t>2026년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</si>
</sst>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_-;\-* #,##0.0_-;_-* &quot;-&quot;_-;_-@_-"/>
    <numFmt numFmtId="177" formatCode="#,##0.00_);[Red]\(#,##0.00\)"/>
    <numFmt numFmtId="178" formatCode="yyyy&quot;년&quot;\ m&quot;월&quot;"/>
    <numFmt numFmtId="179" formatCode="_-* #,##0.00_-;\-* #,##0.0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179" fontId="5" fillId="0" borderId="1" xfId="1" applyNumberFormat="1" applyFont="1" applyBorder="1">
      <alignment vertical="center"/>
    </xf>
    <xf numFmtId="176" fontId="6" fillId="0" borderId="1" xfId="1" applyNumberFormat="1" applyFont="1" applyFill="1" applyBorder="1">
      <alignment vertical="center"/>
    </xf>
    <xf numFmtId="176" fontId="6" fillId="0" borderId="1" xfId="1" applyNumberFormat="1" applyFont="1" applyFill="1" applyBorder="1" applyAlignment="1">
      <alignment horizontal="right" vertical="center"/>
    </xf>
    <xf numFmtId="176" fontId="6" fillId="0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1" applyNumberFormat="1" applyFont="1" applyBorder="1">
      <alignment vertical="center"/>
    </xf>
    <xf numFmtId="176" fontId="6" fillId="0" borderId="1" xfId="1" applyNumberFormat="1" applyFont="1" applyBorder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9" fontId="6" fillId="0" borderId="1" xfId="1" applyNumberFormat="1" applyFont="1" applyFill="1" applyBorder="1">
      <alignment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6" fillId="0" borderId="1" xfId="0" applyNumberFormat="1" applyFont="1" applyBorder="1">
      <alignment vertical="center"/>
    </xf>
  </cellXfs>
  <cellStyles count="3">
    <cellStyle name="쉼표 [0]" xfId="1" builtinId="6"/>
    <cellStyle name="쉼표 [0] 2" xfId="2" xr:uid="{34BB2F84-03D5-4A66-BD25-E7F43E957317}"/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 민지" id="{14FD67A5-C1EC-4FAF-A93D-63CD3E85C6B9}" userId="S::minji.park@interojo11.onmicrosoft.com::12c2efa3-65d3-4f43-a70e-2252256311b1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6-07-21T08:09:17.87" personId="{14FD67A5-C1EC-4FAF-A93D-63CD3E85C6B9}" id="{D70800DF-00C9-4483-8F02-9197D9199929}">
    <text>2025년 연평균 종가 일괄 기재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2FCA-6AA8-48C0-AEEF-F959BD03128C}">
  <dimension ref="A1:AD13"/>
  <sheetViews>
    <sheetView showGridLines="0" tabSelected="1" zoomScaleNormal="100" workbookViewId="0">
      <pane xSplit="6" ySplit="3" topLeftCell="G7" activePane="bottomRight" state="frozen"/>
      <selection pane="topRight" activeCell="G1" sqref="G1"/>
      <selection pane="bottomLeft" activeCell="A3" sqref="A3"/>
      <selection pane="bottomRight" activeCell="V15" sqref="V15"/>
    </sheetView>
  </sheetViews>
  <sheetFormatPr defaultRowHeight="16.5" outlineLevelCol="1"/>
  <cols>
    <col min="1" max="1" width="17" customWidth="1"/>
    <col min="2" max="2" width="5.25" customWidth="1"/>
    <col min="3" max="3" width="24.125" bestFit="1" customWidth="1"/>
    <col min="4" max="4" width="25" bestFit="1" customWidth="1"/>
    <col min="7" max="15" width="11.875" hidden="1" customWidth="1" outlineLevel="1"/>
    <col min="16" max="18" width="13.125" hidden="1" customWidth="1" outlineLevel="1"/>
    <col min="19" max="19" width="11.875" bestFit="1" customWidth="1" collapsed="1"/>
    <col min="20" max="27" width="11.875" bestFit="1" customWidth="1"/>
    <col min="28" max="30" width="13.125" bestFit="1" customWidth="1"/>
  </cols>
  <sheetData>
    <row r="1" spans="1:30">
      <c r="C1" s="26" t="s">
        <v>61</v>
      </c>
    </row>
    <row r="2" spans="1:30">
      <c r="C2" s="27">
        <f ca="1">TODAY()</f>
        <v>46315</v>
      </c>
      <c r="D2" s="15"/>
      <c r="E2" s="15"/>
      <c r="F2" s="15"/>
      <c r="G2" s="28" t="s">
        <v>75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 t="s">
        <v>81</v>
      </c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0">
      <c r="B3" s="1" t="s">
        <v>2</v>
      </c>
      <c r="C3" s="2" t="s">
        <v>62</v>
      </c>
      <c r="D3" s="2" t="s">
        <v>3</v>
      </c>
      <c r="E3" s="2" t="s">
        <v>4</v>
      </c>
      <c r="F3" s="2" t="s">
        <v>5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74</v>
      </c>
      <c r="S3" s="7">
        <v>46023</v>
      </c>
      <c r="T3" s="7">
        <v>46054</v>
      </c>
      <c r="U3" s="7">
        <v>46082</v>
      </c>
      <c r="V3" s="7">
        <v>46113</v>
      </c>
      <c r="W3" s="7">
        <v>46143</v>
      </c>
      <c r="X3" s="7">
        <v>46174</v>
      </c>
      <c r="Y3" s="7">
        <v>46204</v>
      </c>
      <c r="Z3" s="7">
        <v>46235</v>
      </c>
      <c r="AA3" s="7">
        <v>46266</v>
      </c>
      <c r="AB3" s="7">
        <v>46296</v>
      </c>
      <c r="AC3" s="7">
        <v>46327</v>
      </c>
      <c r="AD3" s="7">
        <v>46357</v>
      </c>
    </row>
    <row r="4" spans="1:30">
      <c r="B4" s="3">
        <v>1</v>
      </c>
      <c r="C4" s="4" t="s">
        <v>1</v>
      </c>
      <c r="D4" s="4" t="s">
        <v>6</v>
      </c>
      <c r="E4" s="4" t="s">
        <v>7</v>
      </c>
      <c r="F4" s="4" t="s">
        <v>8</v>
      </c>
      <c r="G4" s="16">
        <v>2574.9499999999998</v>
      </c>
      <c r="H4" s="16">
        <v>2653.38</v>
      </c>
      <c r="I4" s="16">
        <v>2657.21</v>
      </c>
      <c r="J4" s="16">
        <v>2381.25</v>
      </c>
      <c r="K4" s="16">
        <v>2442.4</v>
      </c>
      <c r="L4" s="16">
        <v>2516.48</v>
      </c>
      <c r="M4" s="16">
        <v>2604.15</v>
      </c>
      <c r="N4" s="16">
        <v>2594.0300000000002</v>
      </c>
      <c r="O4" s="16">
        <v>2653.25</v>
      </c>
      <c r="P4" s="16">
        <v>2786.3</v>
      </c>
      <c r="Q4" s="16">
        <v>2822.93</v>
      </c>
      <c r="R4" s="16">
        <v>2875.45</v>
      </c>
      <c r="S4" s="17">
        <v>3148.4</v>
      </c>
      <c r="T4" s="17">
        <v>3065.35</v>
      </c>
      <c r="U4" s="18">
        <v>3370.16</v>
      </c>
      <c r="V4" s="18">
        <v>3600.63</v>
      </c>
      <c r="W4" s="19">
        <v>3670.18</v>
      </c>
      <c r="X4" s="18">
        <v>3458.64</v>
      </c>
      <c r="Y4" s="20">
        <v>3155.98</v>
      </c>
      <c r="Z4" s="20"/>
      <c r="AA4" s="20"/>
      <c r="AB4" s="20"/>
      <c r="AC4" s="20"/>
      <c r="AD4" s="20"/>
    </row>
    <row r="5" spans="1:30">
      <c r="B5" s="3">
        <v>2</v>
      </c>
      <c r="C5" s="4" t="s">
        <v>9</v>
      </c>
      <c r="D5" s="4" t="s">
        <v>10</v>
      </c>
      <c r="E5" s="4" t="s">
        <v>7</v>
      </c>
      <c r="F5" s="4" t="s">
        <v>11</v>
      </c>
      <c r="G5" s="16">
        <v>80.41</v>
      </c>
      <c r="H5" s="16">
        <v>77.92</v>
      </c>
      <c r="I5" s="16">
        <v>72.489999999999995</v>
      </c>
      <c r="J5" s="16">
        <v>67.75</v>
      </c>
      <c r="K5" s="16">
        <v>63.73</v>
      </c>
      <c r="L5" s="16">
        <v>69.260000000000005</v>
      </c>
      <c r="M5" s="16">
        <v>70.87</v>
      </c>
      <c r="N5" s="16">
        <v>69.39</v>
      </c>
      <c r="O5" s="16">
        <v>70.010000000000005</v>
      </c>
      <c r="P5" s="16">
        <v>65</v>
      </c>
      <c r="Q5" s="16">
        <v>64.47</v>
      </c>
      <c r="R5" s="16">
        <v>62.06</v>
      </c>
      <c r="S5" s="17">
        <v>61.97</v>
      </c>
      <c r="T5" s="17">
        <v>68.400000000000006</v>
      </c>
      <c r="U5" s="18">
        <v>128.52000000000001</v>
      </c>
      <c r="V5" s="18">
        <v>105.7</v>
      </c>
      <c r="W5" s="18">
        <v>103.15</v>
      </c>
      <c r="X5" s="18">
        <v>79.45</v>
      </c>
      <c r="Y5" s="20">
        <v>76.75</v>
      </c>
      <c r="Z5" s="20">
        <v>88.75</v>
      </c>
      <c r="AA5" s="20">
        <v>113.71</v>
      </c>
      <c r="AB5" s="20"/>
      <c r="AC5" s="20"/>
      <c r="AD5" s="20"/>
    </row>
    <row r="6" spans="1:30">
      <c r="B6" s="3">
        <v>3</v>
      </c>
      <c r="C6" s="4" t="s">
        <v>12</v>
      </c>
      <c r="D6" s="4" t="s">
        <v>13</v>
      </c>
      <c r="E6" s="4" t="s">
        <v>7</v>
      </c>
      <c r="F6" s="4" t="s">
        <v>14</v>
      </c>
      <c r="G6" s="16">
        <v>673.8</v>
      </c>
      <c r="H6" s="16">
        <v>667.35</v>
      </c>
      <c r="I6" s="16">
        <v>638.41</v>
      </c>
      <c r="J6" s="16">
        <v>575.44000000000005</v>
      </c>
      <c r="K6" s="16">
        <v>568.59</v>
      </c>
      <c r="L6" s="16">
        <v>593.35</v>
      </c>
      <c r="M6" s="16">
        <v>582.85</v>
      </c>
      <c r="N6" s="16">
        <v>579.6</v>
      </c>
      <c r="O6" s="16">
        <v>603.5</v>
      </c>
      <c r="P6" s="16">
        <v>569.57000000000005</v>
      </c>
      <c r="Q6" s="16">
        <v>574.6</v>
      </c>
      <c r="R6" s="16">
        <v>549.57000000000005</v>
      </c>
      <c r="S6" s="17">
        <v>557.36</v>
      </c>
      <c r="T6" s="21">
        <v>608.6</v>
      </c>
      <c r="U6" s="21">
        <v>1018.64</v>
      </c>
      <c r="V6" s="22">
        <v>1063.1400000000001</v>
      </c>
      <c r="W6" s="21">
        <v>957.67</v>
      </c>
      <c r="X6" s="21">
        <v>708.41</v>
      </c>
      <c r="Y6" s="14">
        <v>807.13</v>
      </c>
      <c r="Z6" s="14">
        <v>795.62</v>
      </c>
      <c r="AA6" s="14">
        <v>908.23</v>
      </c>
      <c r="AB6" s="14"/>
      <c r="AC6" s="14"/>
      <c r="AD6" s="14"/>
    </row>
    <row r="7" spans="1:30">
      <c r="B7" s="3">
        <v>4</v>
      </c>
      <c r="C7" s="4" t="s">
        <v>15</v>
      </c>
      <c r="D7" s="4" t="s">
        <v>16</v>
      </c>
      <c r="E7" s="4" t="s">
        <v>7</v>
      </c>
      <c r="F7" s="4" t="s">
        <v>14</v>
      </c>
      <c r="G7" s="16">
        <v>832</v>
      </c>
      <c r="H7" s="16">
        <v>855</v>
      </c>
      <c r="I7" s="16">
        <v>828.75</v>
      </c>
      <c r="J7" s="16">
        <v>767.5</v>
      </c>
      <c r="K7" s="16">
        <v>743</v>
      </c>
      <c r="L7" s="16">
        <v>767.5</v>
      </c>
      <c r="M7" s="16">
        <v>783.75</v>
      </c>
      <c r="N7" s="16">
        <v>785</v>
      </c>
      <c r="O7" s="16">
        <v>800</v>
      </c>
      <c r="P7" s="16">
        <v>736</v>
      </c>
      <c r="Q7" s="16">
        <v>695</v>
      </c>
      <c r="R7" s="16">
        <v>705</v>
      </c>
      <c r="S7" s="17">
        <v>675</v>
      </c>
      <c r="T7" s="21">
        <v>663.75</v>
      </c>
      <c r="U7" s="21">
        <v>1216.25</v>
      </c>
      <c r="V7" s="22">
        <v>1378</v>
      </c>
      <c r="W7" s="21">
        <v>1097.5</v>
      </c>
      <c r="X7" s="21">
        <v>843.75</v>
      </c>
      <c r="Y7" s="14">
        <v>876</v>
      </c>
      <c r="Z7" s="30">
        <v>1005</v>
      </c>
      <c r="AA7" s="30">
        <v>1172.5</v>
      </c>
      <c r="AB7" s="14"/>
      <c r="AC7" s="14"/>
      <c r="AD7" s="14"/>
    </row>
    <row r="8" spans="1:30">
      <c r="A8" t="s">
        <v>77</v>
      </c>
      <c r="B8" s="3">
        <v>5</v>
      </c>
      <c r="C8" s="4" t="s">
        <v>78</v>
      </c>
      <c r="D8" s="4" t="s">
        <v>17</v>
      </c>
      <c r="E8" s="4" t="s">
        <v>7</v>
      </c>
      <c r="F8" s="4" t="s">
        <v>8</v>
      </c>
      <c r="G8" s="16">
        <v>172.56</v>
      </c>
      <c r="H8" s="16">
        <v>172.56</v>
      </c>
      <c r="I8" s="16">
        <v>172.56</v>
      </c>
      <c r="J8" s="16">
        <v>172.56</v>
      </c>
      <c r="K8" s="16">
        <v>172.56</v>
      </c>
      <c r="L8" s="16">
        <v>172.56</v>
      </c>
      <c r="M8" s="16">
        <v>172.56</v>
      </c>
      <c r="N8" s="16">
        <v>172.56</v>
      </c>
      <c r="O8" s="16">
        <v>172.56</v>
      </c>
      <c r="P8" s="16">
        <v>172.56</v>
      </c>
      <c r="Q8" s="16">
        <v>172.56</v>
      </c>
      <c r="R8" s="16">
        <v>172.56</v>
      </c>
      <c r="S8" s="17">
        <v>169.61</v>
      </c>
      <c r="T8" s="17">
        <v>169.1</v>
      </c>
      <c r="U8" s="17">
        <v>177.96</v>
      </c>
      <c r="V8" s="19">
        <v>178.12</v>
      </c>
      <c r="W8" s="17">
        <v>181.63</v>
      </c>
      <c r="X8" s="17">
        <v>166.12</v>
      </c>
      <c r="Y8" s="14">
        <v>174.89</v>
      </c>
      <c r="Z8" s="14">
        <v>184.7</v>
      </c>
      <c r="AA8" s="14">
        <v>205.48</v>
      </c>
      <c r="AB8" s="14"/>
      <c r="AC8" s="14"/>
      <c r="AD8" s="14"/>
    </row>
    <row r="9" spans="1:30">
      <c r="A9" t="s">
        <v>76</v>
      </c>
      <c r="B9" s="3">
        <v>6</v>
      </c>
      <c r="C9" s="4" t="s">
        <v>79</v>
      </c>
      <c r="D9" s="4" t="s">
        <v>18</v>
      </c>
      <c r="E9" s="4" t="s">
        <v>7</v>
      </c>
      <c r="F9" s="4" t="s">
        <v>8</v>
      </c>
      <c r="G9" s="16">
        <v>665</v>
      </c>
      <c r="H9" s="16">
        <v>705</v>
      </c>
      <c r="I9" s="16">
        <v>730</v>
      </c>
      <c r="J9" s="23">
        <v>750</v>
      </c>
      <c r="K9" s="16">
        <v>675</v>
      </c>
      <c r="L9" s="16">
        <v>645</v>
      </c>
      <c r="M9" s="16">
        <v>645</v>
      </c>
      <c r="N9" s="16">
        <v>630</v>
      </c>
      <c r="O9" s="16">
        <v>650</v>
      </c>
      <c r="P9" s="16">
        <v>660</v>
      </c>
      <c r="Q9" s="16">
        <v>670</v>
      </c>
      <c r="R9" s="16">
        <v>675</v>
      </c>
      <c r="S9" s="17">
        <v>700</v>
      </c>
      <c r="T9" s="17">
        <v>740</v>
      </c>
      <c r="U9" s="18">
        <v>760</v>
      </c>
      <c r="V9" s="18">
        <v>780</v>
      </c>
      <c r="W9" s="18">
        <v>780</v>
      </c>
      <c r="X9" s="18">
        <v>780</v>
      </c>
      <c r="Y9" s="20">
        <v>760</v>
      </c>
      <c r="Z9" s="20">
        <v>735</v>
      </c>
      <c r="AA9" s="20">
        <v>735</v>
      </c>
      <c r="AB9" s="20"/>
      <c r="AC9" s="20"/>
      <c r="AD9" s="20"/>
    </row>
    <row r="10" spans="1:30">
      <c r="A10" t="s">
        <v>76</v>
      </c>
      <c r="B10" s="3">
        <v>7</v>
      </c>
      <c r="C10" s="4" t="s">
        <v>80</v>
      </c>
      <c r="D10" s="4" t="s">
        <v>19</v>
      </c>
      <c r="E10" s="4" t="s">
        <v>20</v>
      </c>
      <c r="F10" s="4" t="s">
        <v>21</v>
      </c>
      <c r="G10" s="16">
        <v>105.1</v>
      </c>
      <c r="H10" s="16">
        <v>91</v>
      </c>
      <c r="I10" s="16">
        <v>80</v>
      </c>
      <c r="J10" s="16">
        <v>81.3</v>
      </c>
      <c r="K10" s="16">
        <v>81.900000000000006</v>
      </c>
      <c r="L10" s="23">
        <v>88.7</v>
      </c>
      <c r="M10" s="16">
        <v>90.3</v>
      </c>
      <c r="N10" s="16">
        <v>90.5</v>
      </c>
      <c r="O10" s="16">
        <v>90.8</v>
      </c>
      <c r="P10" s="16">
        <v>89.5</v>
      </c>
      <c r="Q10" s="16">
        <v>89.5</v>
      </c>
      <c r="R10" s="16">
        <v>81.7</v>
      </c>
      <c r="S10" s="17">
        <v>81.599999999999994</v>
      </c>
      <c r="T10" s="17">
        <v>82.5</v>
      </c>
      <c r="U10" s="18">
        <v>81.5</v>
      </c>
      <c r="V10" s="18">
        <v>81.099999999999994</v>
      </c>
      <c r="W10" s="18">
        <v>81.2</v>
      </c>
      <c r="X10" s="18">
        <v>81.5</v>
      </c>
      <c r="Y10" s="20">
        <v>83.8</v>
      </c>
      <c r="Z10" s="20">
        <v>91.2</v>
      </c>
      <c r="AA10" s="20">
        <v>92.9</v>
      </c>
      <c r="AB10" s="20"/>
      <c r="AC10" s="20"/>
      <c r="AD10" s="20"/>
    </row>
    <row r="11" spans="1:30">
      <c r="B11" s="24">
        <v>8</v>
      </c>
      <c r="C11" s="13" t="s">
        <v>7</v>
      </c>
      <c r="D11" s="14"/>
      <c r="E11" s="14"/>
      <c r="F11" s="14"/>
      <c r="G11" s="14">
        <v>1455.79</v>
      </c>
      <c r="H11" s="14">
        <v>1445.56</v>
      </c>
      <c r="I11" s="14">
        <v>1456.95</v>
      </c>
      <c r="J11" s="14">
        <v>1444.31</v>
      </c>
      <c r="K11" s="14">
        <v>1394.49</v>
      </c>
      <c r="L11" s="14">
        <v>1366.95</v>
      </c>
      <c r="M11" s="14">
        <v>1375.22</v>
      </c>
      <c r="N11" s="14">
        <v>1389.66</v>
      </c>
      <c r="O11" s="14">
        <v>1391.83</v>
      </c>
      <c r="P11" s="14">
        <v>1423.36</v>
      </c>
      <c r="Q11" s="14">
        <v>1457.77</v>
      </c>
      <c r="R11" s="14">
        <v>1467.4</v>
      </c>
      <c r="S11" s="25">
        <v>1456.51</v>
      </c>
      <c r="T11" s="25">
        <v>1449.32</v>
      </c>
      <c r="U11" s="25">
        <v>1486.64</v>
      </c>
      <c r="V11" s="25">
        <v>1487.39</v>
      </c>
      <c r="W11" s="25">
        <v>1490.11</v>
      </c>
      <c r="X11" s="17">
        <v>1527.3</v>
      </c>
      <c r="Y11" s="14">
        <v>1441.1</v>
      </c>
      <c r="Z11" s="14">
        <v>1406.3</v>
      </c>
      <c r="AA11" s="14">
        <v>1359</v>
      </c>
      <c r="AB11" s="14"/>
      <c r="AC11" s="14"/>
      <c r="AD11" s="14"/>
    </row>
    <row r="12" spans="1:30">
      <c r="B12" s="24">
        <v>9</v>
      </c>
      <c r="C12" s="13" t="s">
        <v>59</v>
      </c>
      <c r="D12" s="14"/>
      <c r="E12" s="14"/>
      <c r="F12" s="14"/>
      <c r="G12" s="14">
        <v>1504.11</v>
      </c>
      <c r="H12" s="14">
        <v>1505.44</v>
      </c>
      <c r="I12" s="14">
        <v>1575.91</v>
      </c>
      <c r="J12" s="14">
        <v>1617.71</v>
      </c>
      <c r="K12" s="14">
        <v>1571.45</v>
      </c>
      <c r="L12" s="14">
        <v>1574.56</v>
      </c>
      <c r="M12" s="14">
        <v>1607.95</v>
      </c>
      <c r="N12" s="14">
        <v>1617.03</v>
      </c>
      <c r="O12" s="14">
        <v>1633.09</v>
      </c>
      <c r="P12" s="14">
        <v>1655.73</v>
      </c>
      <c r="Q12" s="14">
        <v>1684.9</v>
      </c>
      <c r="R12" s="14">
        <v>1717.96</v>
      </c>
      <c r="S12" s="25">
        <v>1709.82</v>
      </c>
      <c r="T12" s="25">
        <v>1709.82</v>
      </c>
      <c r="U12" s="25">
        <v>1713.05</v>
      </c>
      <c r="V12" s="25">
        <v>1718.26</v>
      </c>
      <c r="W12" s="25">
        <v>1737.95</v>
      </c>
      <c r="X12" s="17">
        <v>1758.45</v>
      </c>
      <c r="Y12" s="14">
        <v>1709.78</v>
      </c>
      <c r="Z12" s="14">
        <v>1629.78</v>
      </c>
      <c r="AA12" s="14">
        <v>1567.13</v>
      </c>
      <c r="AB12" s="14"/>
      <c r="AC12" s="14"/>
      <c r="AD12" s="14"/>
    </row>
    <row r="13" spans="1:30">
      <c r="B13" s="24">
        <v>10</v>
      </c>
      <c r="C13" s="13" t="s">
        <v>60</v>
      </c>
      <c r="D13" s="14"/>
      <c r="E13" s="14"/>
      <c r="F13" s="14"/>
      <c r="G13" s="14">
        <v>927.97</v>
      </c>
      <c r="H13" s="14">
        <v>952.59</v>
      </c>
      <c r="I13" s="14">
        <v>977.77</v>
      </c>
      <c r="J13" s="14">
        <v>999.96</v>
      </c>
      <c r="K13" s="14">
        <v>962.28</v>
      </c>
      <c r="L13" s="14">
        <v>944.94</v>
      </c>
      <c r="M13" s="14">
        <v>936.97</v>
      </c>
      <c r="N13" s="14">
        <v>941.32</v>
      </c>
      <c r="O13" s="14">
        <v>941.2</v>
      </c>
      <c r="P13" s="14">
        <v>939.16</v>
      </c>
      <c r="Q13" s="14">
        <v>939.83</v>
      </c>
      <c r="R13" s="14">
        <v>941.39</v>
      </c>
      <c r="S13" s="25">
        <v>929.51</v>
      </c>
      <c r="T13" s="25">
        <v>932.63</v>
      </c>
      <c r="U13" s="25">
        <v>936.68</v>
      </c>
      <c r="V13" s="25">
        <v>933.92</v>
      </c>
      <c r="W13" s="25">
        <v>942.04</v>
      </c>
      <c r="X13" s="25">
        <v>950.38</v>
      </c>
      <c r="Y13" s="14">
        <v>921.46</v>
      </c>
      <c r="Z13" s="14">
        <v>885.63</v>
      </c>
      <c r="AA13" s="14">
        <v>869.52</v>
      </c>
      <c r="AB13" s="14"/>
      <c r="AC13" s="14"/>
      <c r="AD13" s="14"/>
    </row>
  </sheetData>
  <mergeCells count="2">
    <mergeCell ref="G2:R2"/>
    <mergeCell ref="S2:AD2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4673-265D-4FFA-BAC0-BC27D5C626CF}">
  <dimension ref="B2:I16"/>
  <sheetViews>
    <sheetView workbookViewId="0">
      <selection activeCell="H15" sqref="H15"/>
    </sheetView>
  </sheetViews>
  <sheetFormatPr defaultRowHeight="16.5"/>
  <cols>
    <col min="2" max="2" width="10.5" bestFit="1" customWidth="1"/>
    <col min="3" max="3" width="24.375" bestFit="1" customWidth="1"/>
    <col min="4" max="4" width="17" bestFit="1" customWidth="1"/>
    <col min="5" max="6" width="5.5" bestFit="1" customWidth="1"/>
    <col min="7" max="7" width="29" bestFit="1" customWidth="1"/>
    <col min="8" max="8" width="64.25" bestFit="1" customWidth="1"/>
    <col min="9" max="9" width="5.5" bestFit="1" customWidth="1"/>
  </cols>
  <sheetData>
    <row r="2" spans="2:9">
      <c r="B2" s="10" t="s">
        <v>39</v>
      </c>
    </row>
    <row r="3" spans="2:9"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40</v>
      </c>
      <c r="H3" s="2" t="s">
        <v>41</v>
      </c>
      <c r="I3" s="2" t="s">
        <v>42</v>
      </c>
    </row>
    <row r="4" spans="2:9">
      <c r="B4" s="2">
        <v>1</v>
      </c>
      <c r="C4" s="9" t="s">
        <v>0</v>
      </c>
      <c r="D4" s="9" t="s">
        <v>6</v>
      </c>
      <c r="E4" s="4" t="s">
        <v>30</v>
      </c>
      <c r="F4" s="4" t="s">
        <v>31</v>
      </c>
      <c r="G4" s="5" t="s">
        <v>43</v>
      </c>
      <c r="H4" s="5" t="s">
        <v>44</v>
      </c>
      <c r="I4" s="5" t="s">
        <v>45</v>
      </c>
    </row>
    <row r="5" spans="2:9">
      <c r="B5" s="2">
        <v>2</v>
      </c>
      <c r="C5" s="9" t="s">
        <v>22</v>
      </c>
      <c r="D5" s="9" t="s">
        <v>10</v>
      </c>
      <c r="E5" s="4" t="s">
        <v>30</v>
      </c>
      <c r="F5" s="4" t="s">
        <v>32</v>
      </c>
      <c r="G5" s="5" t="s">
        <v>43</v>
      </c>
      <c r="H5" s="5" t="s">
        <v>44</v>
      </c>
      <c r="I5" s="5" t="s">
        <v>45</v>
      </c>
    </row>
    <row r="6" spans="2:9">
      <c r="B6" s="2">
        <v>3</v>
      </c>
      <c r="C6" s="9" t="s">
        <v>23</v>
      </c>
      <c r="D6" s="9" t="s">
        <v>46</v>
      </c>
      <c r="E6" s="4" t="s">
        <v>30</v>
      </c>
      <c r="F6" s="4" t="s">
        <v>33</v>
      </c>
      <c r="G6" s="5" t="s">
        <v>43</v>
      </c>
      <c r="H6" s="5" t="s">
        <v>44</v>
      </c>
      <c r="I6" s="5" t="s">
        <v>47</v>
      </c>
    </row>
    <row r="7" spans="2:9">
      <c r="B7" s="2">
        <v>4</v>
      </c>
      <c r="C7" s="9" t="s">
        <v>24</v>
      </c>
      <c r="D7" s="9" t="s">
        <v>16</v>
      </c>
      <c r="E7" s="4" t="s">
        <v>30</v>
      </c>
      <c r="F7" s="4" t="s">
        <v>33</v>
      </c>
      <c r="G7" s="5" t="s">
        <v>43</v>
      </c>
      <c r="H7" s="5" t="s">
        <v>44</v>
      </c>
      <c r="I7" s="5" t="s">
        <v>47</v>
      </c>
    </row>
    <row r="8" spans="2:9">
      <c r="B8" s="2">
        <v>5</v>
      </c>
      <c r="C8" s="9" t="s">
        <v>34</v>
      </c>
      <c r="D8" s="9" t="s">
        <v>17</v>
      </c>
      <c r="E8" s="4" t="s">
        <v>30</v>
      </c>
      <c r="F8" s="4" t="s">
        <v>31</v>
      </c>
      <c r="G8" s="5" t="s">
        <v>48</v>
      </c>
      <c r="H8" s="5" t="s">
        <v>49</v>
      </c>
      <c r="I8" s="5" t="s">
        <v>45</v>
      </c>
    </row>
    <row r="9" spans="2:9">
      <c r="B9" s="2">
        <v>6</v>
      </c>
      <c r="C9" s="9" t="s">
        <v>35</v>
      </c>
      <c r="D9" s="9" t="s">
        <v>18</v>
      </c>
      <c r="E9" s="4" t="s">
        <v>30</v>
      </c>
      <c r="F9" s="4" t="s">
        <v>31</v>
      </c>
      <c r="G9" s="5" t="s">
        <v>43</v>
      </c>
      <c r="H9" s="5" t="s">
        <v>44</v>
      </c>
      <c r="I9" s="5" t="s">
        <v>50</v>
      </c>
    </row>
    <row r="10" spans="2:9">
      <c r="B10" s="2">
        <v>7</v>
      </c>
      <c r="C10" s="9" t="s">
        <v>36</v>
      </c>
      <c r="D10" s="9" t="s">
        <v>19</v>
      </c>
      <c r="E10" s="4" t="s">
        <v>37</v>
      </c>
      <c r="F10" s="4" t="s">
        <v>38</v>
      </c>
      <c r="G10" s="5" t="s">
        <v>43</v>
      </c>
      <c r="H10" s="5" t="s">
        <v>44</v>
      </c>
      <c r="I10" s="5" t="s">
        <v>50</v>
      </c>
    </row>
    <row r="11" spans="2:9">
      <c r="C11" s="8"/>
      <c r="D11" s="8"/>
      <c r="E11" s="8"/>
      <c r="F11" s="8"/>
    </row>
    <row r="12" spans="2:9">
      <c r="B12" s="11" t="s">
        <v>51</v>
      </c>
      <c r="D12" s="12"/>
      <c r="E12" s="10"/>
      <c r="F12" s="10"/>
    </row>
    <row r="13" spans="2:9">
      <c r="B13" s="2" t="s">
        <v>25</v>
      </c>
      <c r="C13" s="2" t="s">
        <v>28</v>
      </c>
      <c r="D13" s="2" t="s">
        <v>40</v>
      </c>
      <c r="E13" s="2" t="s">
        <v>52</v>
      </c>
      <c r="F13" s="28" t="s">
        <v>41</v>
      </c>
      <c r="G13" s="28"/>
      <c r="H13" s="8"/>
      <c r="I13" s="8"/>
    </row>
    <row r="14" spans="2:9">
      <c r="B14" s="2">
        <v>1</v>
      </c>
      <c r="C14" s="9" t="s">
        <v>53</v>
      </c>
      <c r="D14" s="5" t="s">
        <v>54</v>
      </c>
      <c r="E14" s="6"/>
      <c r="F14" s="29" t="s">
        <v>55</v>
      </c>
      <c r="G14" s="29"/>
    </row>
    <row r="15" spans="2:9">
      <c r="B15" s="2">
        <v>2</v>
      </c>
      <c r="C15" s="9" t="s">
        <v>56</v>
      </c>
      <c r="D15" s="5" t="s">
        <v>54</v>
      </c>
      <c r="E15" s="6"/>
      <c r="F15" s="29" t="s">
        <v>55</v>
      </c>
      <c r="G15" s="29"/>
    </row>
    <row r="16" spans="2:9">
      <c r="B16" s="2">
        <v>3</v>
      </c>
      <c r="C16" s="9" t="s">
        <v>57</v>
      </c>
      <c r="D16" s="5" t="s">
        <v>54</v>
      </c>
      <c r="E16" s="5" t="s">
        <v>58</v>
      </c>
      <c r="F16" s="29" t="s">
        <v>55</v>
      </c>
      <c r="G16" s="29"/>
    </row>
  </sheetData>
  <mergeCells count="4">
    <mergeCell ref="F13:G13"/>
    <mergeCell ref="F14:G14"/>
    <mergeCell ref="F15:G15"/>
    <mergeCell ref="F16:G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2026년</vt:lpstr>
      <vt:lpstr>출처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민지</dc:creator>
  <cp:lastModifiedBy>박 민지</cp:lastModifiedBy>
  <dcterms:created xsi:type="dcterms:W3CDTF">2026-07-21T04:41:21Z</dcterms:created>
  <dcterms:modified xsi:type="dcterms:W3CDTF">2026-10-20T03:27:19Z</dcterms:modified>
</cp:coreProperties>
</file>